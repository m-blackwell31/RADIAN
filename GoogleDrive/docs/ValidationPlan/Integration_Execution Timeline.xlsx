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" sheetId="1" r:id="rId5"/>
    <sheet state="visible" name="MITCHELL" sheetId="2" r:id="rId6"/>
    <sheet state="visible" name="MATTHEW" sheetId="3" r:id="rId7"/>
    <sheet state="visible" name="WYATT" sheetId="4" r:id="rId8"/>
  </sheets>
  <definedNames/>
  <calcPr/>
</workbook>
</file>

<file path=xl/sharedStrings.xml><?xml version="1.0" encoding="utf-8"?>
<sst xmlns="http://schemas.openxmlformats.org/spreadsheetml/2006/main" count="74" uniqueCount="63">
  <si>
    <t>RADIAN TEAM GANTT CHART</t>
  </si>
  <si>
    <t>Establish team, team name, scope, and introductory plan to build the RADIAN system</t>
  </si>
  <si>
    <t>Complete ConOps document, going over the general scope of the RADIAN system and how the RADIAN group plans to accomplish the goal</t>
  </si>
  <si>
    <t>Not Started</t>
  </si>
  <si>
    <t>Establish Radar, Raspberry Pi 3 ML Model, and and other needed components as functional</t>
  </si>
  <si>
    <t>In Progress</t>
  </si>
  <si>
    <t>Validation Plan, FSR, ICD, Milestones, 1st Presentation</t>
  </si>
  <si>
    <t>Completed</t>
  </si>
  <si>
    <t>Have each component working for intended subsystem, 
including radar given accurate data, a simple phone 
application UI, and a simple ML model running with 
dummy data</t>
  </si>
  <si>
    <t>Order all components needed for the RADIAN system, including PCB, and any other needed components</t>
  </si>
  <si>
    <t>Ensure that TI board can transmit and communicate to 
Raspberry Pi 3</t>
  </si>
  <si>
    <t>Pushed to 404</t>
  </si>
  <si>
    <t>Ensure that all documentation is up to date up until this point</t>
  </si>
  <si>
    <t>`</t>
  </si>
  <si>
    <t>2nd Presentation</t>
  </si>
  <si>
    <t>Start collecting ML model testing data using TI radar and ensure that all components can be powered via the Physical subsystem</t>
  </si>
  <si>
    <t>Start small subsystem integration between Data and Wireless to test alert push notifications</t>
  </si>
  <si>
    <t>Final Presentation</t>
  </si>
  <si>
    <t>Ensure that all subsystems are operating correctly within the scope of the RADIAN project</t>
  </si>
  <si>
    <t>Final Demo</t>
  </si>
  <si>
    <t>Final Report</t>
  </si>
  <si>
    <t xml:space="preserve"> </t>
  </si>
  <si>
    <t>Research on subsystem</t>
  </si>
  <si>
    <t>Trade studies on component selection</t>
  </si>
  <si>
    <t>Select radar and run demo of radar</t>
  </si>
  <si>
    <t>Select and install software for radar data processing</t>
  </si>
  <si>
    <t>Install software for mobile app development</t>
  </si>
  <si>
    <t>Radar bring-up and data link setup</t>
  </si>
  <si>
    <t>Behind Schedule</t>
  </si>
  <si>
    <t>Radar to Pi integration</t>
  </si>
  <si>
    <t>Gotify communication and app framework setup</t>
  </si>
  <si>
    <t>Mobile app development</t>
  </si>
  <si>
    <t>End to end testing (radar to pi, gotify to app)</t>
  </si>
  <si>
    <t>System validation and documentation</t>
  </si>
  <si>
    <t>Integration and Demo prep</t>
  </si>
  <si>
    <t>Requirements of the Data subsystem</t>
  </si>
  <si>
    <t>Trade studies and component selection</t>
  </si>
  <si>
    <t>Establish correct Raspberry Pi OS on component and establish a RADIAN GitHub</t>
  </si>
  <si>
    <t>Research all connectivity between Raspberry Pi 3 and Android phone and select a communication protocol and server to communicate with phone application</t>
  </si>
  <si>
    <t>Create simple decision tree ML model with dummy data, similar to potential parameters that will be used from the radar</t>
  </si>
  <si>
    <t>Continue to refine decision tree ML model with accurate dummy data and start coding a random forest ML model</t>
  </si>
  <si>
    <t>Small integration with Wireless to ensure that data can be transmitted from the TI board to the Raspberry Pi 3</t>
  </si>
  <si>
    <t>Search and select a potential data set to use for an ANN as well as to test the ML models</t>
  </si>
  <si>
    <t>Start recording fall detection tests with RADIAN radar to train the ML model</t>
  </si>
  <si>
    <t>Refine all simple ML models and continue to test accuracy of said models</t>
  </si>
  <si>
    <t>Continue to update documentation as needed when continuing to test the Data subsystem</t>
  </si>
  <si>
    <t>Start validation testing to establish reliability in the Data subsystem</t>
  </si>
  <si>
    <t>Complete validation testing for Data subsystem</t>
  </si>
  <si>
    <t>Small integration with Wireless to ensure that the fall alert can be communicated to the phone application via Gotify's cloud servers</t>
  </si>
  <si>
    <t>Review all final documentation and make any needed edits</t>
  </si>
  <si>
    <t>Final adjustments and demo of Data subsystem</t>
  </si>
  <si>
    <t>WYATT'S GANTT CHART</t>
  </si>
  <si>
    <t>Research Power Requirements &amp; Li-ion Cell Types: confirm loads, runtime, and safe cell options.</t>
  </si>
  <si>
    <t>Requirements &amp; Specs: Limits and pass/fail criteria.</t>
  </si>
  <si>
    <t>Battery Selection: choose cells/pack that meet the 4+ hr goal.</t>
  </si>
  <si>
    <t>Charger IC Selection &amp; Setup: pick the charger and default limits.</t>
  </si>
  <si>
    <t>Power Electronics Design (Schematic &amp; PCB): capture, lay out, and label the power board.</t>
  </si>
  <si>
    <t>Prototype Assembly: build Rev A and sanity-check power.</t>
  </si>
  <si>
    <t>PCB validation: Have PCB in hand</t>
  </si>
  <si>
    <t>Testing &amp; Validation: run spec tests and record results.</t>
  </si>
  <si>
    <t>Integration with Subsystems: mount, wire, and verify end-to-end alerts.</t>
  </si>
  <si>
    <t>Documentation &amp; Review: update ICD/FSR/BoM to match the build.</t>
  </si>
  <si>
    <t>Final Adjustments &amp; Submission: fix small issues and submit.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</si>
</sst>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theme="7"/>
        <bgColor theme="7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3" fontId="1" numFmtId="0" xfId="0" applyFill="1" applyFont="1"/>
    <xf borderId="0" fillId="0" fontId="1" numFmtId="164" xfId="0" applyAlignment="1" applyFont="1" applyNumberFormat="1">
      <alignment readingOrder="0"/>
    </xf>
    <xf borderId="0" fillId="4" fontId="1" numFmtId="0" xfId="0" applyFill="1" applyFont="1"/>
    <xf borderId="0" fillId="0" fontId="1" numFmtId="0" xfId="0" applyAlignment="1" applyFont="1">
      <alignment readingOrder="0"/>
    </xf>
    <xf borderId="0" fillId="5" fontId="1" numFmtId="0" xfId="0" applyFill="1" applyFont="1"/>
    <xf borderId="0" fillId="0" fontId="2" numFmtId="0" xfId="0" applyAlignment="1" applyFont="1">
      <alignment readingOrder="0" shrinkToFit="0" wrapText="1"/>
    </xf>
    <xf borderId="0" fillId="6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7" fontId="1" numFmtId="0" xfId="0" applyFill="1" applyFont="1"/>
    <xf borderId="0" fillId="6" fontId="1" numFmtId="0" xfId="0" applyFont="1"/>
    <xf borderId="0" fillId="8" fontId="1" numFmtId="0" xfId="0" applyFill="1" applyFont="1"/>
    <xf borderId="0" fillId="0" fontId="1" numFmtId="0" xfId="0" applyAlignment="1" applyFont="1">
      <alignment horizontal="left" shrinkToFit="0" vertical="center" wrapText="1"/>
    </xf>
    <xf borderId="0" fillId="2" fontId="1" numFmtId="164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6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5" fontId="1" numFmtId="0" xfId="0" applyAlignment="1" applyFont="1">
      <alignment horizontal="left" vertical="center"/>
    </xf>
    <xf borderId="0" fillId="8" fontId="1" numFmtId="0" xfId="0" applyAlignment="1" applyFont="1">
      <alignment horizontal="left" vertical="center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2" max="11" width="7.5"/>
    <col customWidth="1" min="12" max="15" width="7.38"/>
    <col customWidth="1" min="16" max="17" width="7.5"/>
  </cols>
  <sheetData>
    <row r="1">
      <c r="A1" s="1" t="s">
        <v>0</v>
      </c>
      <c r="B1" s="2">
        <v>45894.0</v>
      </c>
      <c r="C1" s="2">
        <f t="shared" ref="C1:P1" si="1">B1+7</f>
        <v>45901</v>
      </c>
      <c r="D1" s="2">
        <f t="shared" si="1"/>
        <v>45908</v>
      </c>
      <c r="E1" s="2">
        <f t="shared" si="1"/>
        <v>45915</v>
      </c>
      <c r="F1" s="2">
        <f t="shared" si="1"/>
        <v>45922</v>
      </c>
      <c r="G1" s="2">
        <f t="shared" si="1"/>
        <v>45929</v>
      </c>
      <c r="H1" s="2">
        <f t="shared" si="1"/>
        <v>45936</v>
      </c>
      <c r="I1" s="2">
        <f t="shared" si="1"/>
        <v>45943</v>
      </c>
      <c r="J1" s="2">
        <f t="shared" si="1"/>
        <v>45950</v>
      </c>
      <c r="K1" s="2">
        <f t="shared" si="1"/>
        <v>45957</v>
      </c>
      <c r="L1" s="2">
        <f t="shared" si="1"/>
        <v>45964</v>
      </c>
      <c r="M1" s="2">
        <f t="shared" si="1"/>
        <v>45971</v>
      </c>
      <c r="N1" s="2">
        <f t="shared" si="1"/>
        <v>45978</v>
      </c>
      <c r="O1" s="2">
        <f t="shared" si="1"/>
        <v>45985</v>
      </c>
      <c r="P1" s="2">
        <f t="shared" si="1"/>
        <v>45992</v>
      </c>
      <c r="Q1" s="2">
        <v>45997.0</v>
      </c>
    </row>
    <row r="2">
      <c r="A2" s="3" t="s">
        <v>1</v>
      </c>
      <c r="B2" s="4"/>
      <c r="C2" s="4"/>
      <c r="W2" s="5"/>
    </row>
    <row r="3">
      <c r="A3" s="3" t="s">
        <v>2</v>
      </c>
      <c r="C3" s="4"/>
      <c r="D3" s="4"/>
      <c r="E3" s="4"/>
      <c r="M3" s="6"/>
      <c r="N3" s="7" t="s">
        <v>3</v>
      </c>
      <c r="W3" s="5"/>
    </row>
    <row r="4">
      <c r="A4" s="3" t="s">
        <v>4</v>
      </c>
      <c r="C4" s="4"/>
      <c r="D4" s="4"/>
      <c r="E4" s="4"/>
      <c r="F4" s="4"/>
      <c r="M4" s="8"/>
      <c r="N4" s="7" t="s">
        <v>5</v>
      </c>
      <c r="W4" s="5"/>
    </row>
    <row r="5">
      <c r="A5" s="9" t="s">
        <v>6</v>
      </c>
      <c r="D5" s="4"/>
      <c r="E5" s="4"/>
      <c r="F5" s="4"/>
      <c r="G5" s="4"/>
      <c r="M5" s="4"/>
      <c r="N5" s="7" t="s">
        <v>7</v>
      </c>
      <c r="W5" s="5"/>
    </row>
    <row r="6">
      <c r="A6" s="7" t="s">
        <v>8</v>
      </c>
      <c r="F6" s="4"/>
      <c r="G6" s="4"/>
      <c r="H6" s="4"/>
      <c r="I6" s="4"/>
      <c r="W6" s="5"/>
    </row>
    <row r="7">
      <c r="A7" s="3" t="s">
        <v>9</v>
      </c>
      <c r="I7" s="4"/>
      <c r="J7" s="4"/>
      <c r="W7" s="5"/>
    </row>
    <row r="8">
      <c r="A8" s="7" t="s">
        <v>10</v>
      </c>
      <c r="I8" s="10" t="s">
        <v>11</v>
      </c>
      <c r="W8" s="5"/>
    </row>
    <row r="9">
      <c r="A9" s="3" t="s">
        <v>12</v>
      </c>
      <c r="J9" s="4"/>
      <c r="U9" s="7" t="s">
        <v>13</v>
      </c>
      <c r="W9" s="5"/>
    </row>
    <row r="10">
      <c r="A10" s="9" t="s">
        <v>14</v>
      </c>
      <c r="K10" s="4"/>
      <c r="W10" s="5"/>
    </row>
    <row r="11">
      <c r="A11" s="3" t="s">
        <v>15</v>
      </c>
      <c r="J11" s="4"/>
      <c r="K11" s="4"/>
      <c r="L11" s="4"/>
      <c r="M11" s="4"/>
      <c r="N11" s="4"/>
      <c r="W11" s="5"/>
    </row>
    <row r="12">
      <c r="A12" s="3" t="s">
        <v>16</v>
      </c>
      <c r="K12" s="4"/>
      <c r="L12" s="4"/>
      <c r="M12" s="4"/>
      <c r="N12" s="4"/>
      <c r="W12" s="5"/>
    </row>
    <row r="13">
      <c r="A13" s="9" t="s">
        <v>17</v>
      </c>
      <c r="N13" s="4"/>
      <c r="W13" s="5"/>
    </row>
    <row r="14">
      <c r="A14" s="3" t="s">
        <v>18</v>
      </c>
      <c r="L14" s="4"/>
      <c r="M14" s="4"/>
      <c r="N14" s="4"/>
      <c r="O14" s="4"/>
      <c r="P14" s="4"/>
      <c r="W14" s="5"/>
    </row>
    <row r="15">
      <c r="A15" s="11" t="s">
        <v>19</v>
      </c>
      <c r="P15" s="4"/>
      <c r="W15" s="5"/>
    </row>
    <row r="16">
      <c r="A16" s="9" t="s">
        <v>20</v>
      </c>
      <c r="O16" s="4"/>
      <c r="P16" s="4"/>
      <c r="Q16" s="4"/>
      <c r="W16" s="5"/>
    </row>
    <row r="17">
      <c r="W17" s="5"/>
    </row>
    <row r="18">
      <c r="W18" s="5"/>
    </row>
    <row r="19">
      <c r="A19" s="12"/>
    </row>
    <row r="20">
      <c r="A20" s="12"/>
    </row>
    <row r="21">
      <c r="A21" s="12"/>
    </row>
    <row r="22">
      <c r="A22" s="12"/>
    </row>
    <row r="23">
      <c r="A23" s="12"/>
    </row>
    <row r="24">
      <c r="A24" s="12"/>
    </row>
    <row r="25">
      <c r="A25" s="12"/>
    </row>
    <row r="26">
      <c r="A26" s="12"/>
    </row>
    <row r="27">
      <c r="A27" s="12"/>
    </row>
    <row r="28">
      <c r="A28" s="12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  <row r="1001">
      <c r="A1001" s="12"/>
    </row>
  </sheetData>
  <mergeCells count="1">
    <mergeCell ref="I8:J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11" width="7.5"/>
    <col customWidth="1" min="12" max="15" width="7.38"/>
    <col customWidth="1" min="16" max="17" width="7.5"/>
  </cols>
  <sheetData>
    <row r="1">
      <c r="A1" s="1" t="s">
        <v>21</v>
      </c>
      <c r="B1" s="2">
        <v>45894.0</v>
      </c>
      <c r="C1" s="2">
        <f t="shared" ref="C1:P1" si="1">B1+7</f>
        <v>45901</v>
      </c>
      <c r="D1" s="2">
        <f t="shared" si="1"/>
        <v>45908</v>
      </c>
      <c r="E1" s="2">
        <f t="shared" si="1"/>
        <v>45915</v>
      </c>
      <c r="F1" s="2">
        <f t="shared" si="1"/>
        <v>45922</v>
      </c>
      <c r="G1" s="2">
        <f t="shared" si="1"/>
        <v>45929</v>
      </c>
      <c r="H1" s="2">
        <f t="shared" si="1"/>
        <v>45936</v>
      </c>
      <c r="I1" s="2">
        <f t="shared" si="1"/>
        <v>45943</v>
      </c>
      <c r="J1" s="2">
        <f t="shared" si="1"/>
        <v>45950</v>
      </c>
      <c r="K1" s="2">
        <f t="shared" si="1"/>
        <v>45957</v>
      </c>
      <c r="L1" s="2">
        <f t="shared" si="1"/>
        <v>45964</v>
      </c>
      <c r="M1" s="2">
        <f t="shared" si="1"/>
        <v>45971</v>
      </c>
      <c r="N1" s="2">
        <f t="shared" si="1"/>
        <v>45978</v>
      </c>
      <c r="O1" s="2">
        <f t="shared" si="1"/>
        <v>45985</v>
      </c>
      <c r="P1" s="2">
        <f t="shared" si="1"/>
        <v>45992</v>
      </c>
    </row>
    <row r="2">
      <c r="A2" s="3" t="s">
        <v>22</v>
      </c>
      <c r="B2" s="13"/>
      <c r="C2" s="13"/>
      <c r="Q2" s="5"/>
    </row>
    <row r="3">
      <c r="A3" s="3" t="s">
        <v>23</v>
      </c>
      <c r="C3" s="13"/>
      <c r="D3" s="13"/>
      <c r="Q3" s="5"/>
    </row>
    <row r="4">
      <c r="A4" s="3" t="s">
        <v>24</v>
      </c>
      <c r="D4" s="13"/>
      <c r="E4" s="13"/>
      <c r="M4" s="14"/>
      <c r="N4" s="7" t="s">
        <v>3</v>
      </c>
      <c r="Q4" s="5"/>
    </row>
    <row r="5">
      <c r="A5" s="3" t="s">
        <v>25</v>
      </c>
      <c r="E5" s="13"/>
      <c r="F5" s="13"/>
      <c r="M5" s="8"/>
      <c r="N5" s="7" t="s">
        <v>5</v>
      </c>
      <c r="Q5" s="5"/>
    </row>
    <row r="6">
      <c r="A6" s="3" t="s">
        <v>26</v>
      </c>
      <c r="G6" s="13"/>
      <c r="H6" s="13"/>
      <c r="M6" s="4"/>
      <c r="N6" s="7" t="s">
        <v>7</v>
      </c>
      <c r="Q6" s="5"/>
    </row>
    <row r="7">
      <c r="A7" s="3" t="s">
        <v>27</v>
      </c>
      <c r="H7" s="13"/>
      <c r="I7" s="13"/>
      <c r="M7" s="15"/>
      <c r="N7" s="7" t="s">
        <v>28</v>
      </c>
      <c r="Q7" s="5"/>
    </row>
    <row r="8">
      <c r="A8" s="3" t="s">
        <v>29</v>
      </c>
      <c r="H8" s="13"/>
      <c r="I8" s="13"/>
      <c r="Q8" s="5"/>
    </row>
    <row r="9">
      <c r="A9" s="3" t="s">
        <v>30</v>
      </c>
      <c r="I9" s="13"/>
      <c r="J9" s="13"/>
      <c r="K9" s="8"/>
      <c r="Q9" s="5"/>
    </row>
    <row r="10">
      <c r="A10" s="3" t="s">
        <v>31</v>
      </c>
      <c r="H10" s="13"/>
      <c r="I10" s="13"/>
      <c r="J10" s="13"/>
      <c r="K10" s="13"/>
      <c r="Q10" s="5"/>
    </row>
    <row r="11">
      <c r="A11" s="3" t="s">
        <v>32</v>
      </c>
      <c r="K11" s="8"/>
      <c r="L11" s="8"/>
      <c r="M11" s="8"/>
      <c r="N11" s="8"/>
      <c r="Q11" s="5"/>
    </row>
    <row r="12">
      <c r="A12" s="3" t="s">
        <v>33</v>
      </c>
      <c r="N12" s="14"/>
      <c r="O12" s="14"/>
      <c r="Q12" s="5"/>
    </row>
    <row r="13">
      <c r="A13" s="3" t="s">
        <v>34</v>
      </c>
      <c r="O13" s="14"/>
      <c r="P13" s="14"/>
      <c r="Q13" s="5"/>
    </row>
    <row r="14">
      <c r="A14" s="3"/>
      <c r="Q14" s="5"/>
    </row>
    <row r="15">
      <c r="A15" s="3"/>
      <c r="Q15" s="5"/>
    </row>
    <row r="16">
      <c r="A16" s="3"/>
      <c r="D16" s="3"/>
      <c r="Q16" s="5"/>
    </row>
    <row r="17">
      <c r="A17" s="3"/>
      <c r="D17" s="3"/>
    </row>
    <row r="18">
      <c r="A18" s="12"/>
      <c r="D18" s="3"/>
    </row>
    <row r="19">
      <c r="A19" s="12"/>
      <c r="D19" s="3"/>
    </row>
    <row r="20">
      <c r="A20" s="12"/>
      <c r="D20" s="3"/>
    </row>
    <row r="21">
      <c r="A21" s="12"/>
      <c r="D21" s="3"/>
    </row>
    <row r="22">
      <c r="A22" s="12"/>
      <c r="D22" s="3"/>
    </row>
    <row r="23">
      <c r="A23" s="12"/>
      <c r="D23" s="3"/>
    </row>
    <row r="24">
      <c r="A24" s="12"/>
      <c r="D24" s="3"/>
    </row>
    <row r="25">
      <c r="A25" s="12"/>
      <c r="D25" s="3"/>
    </row>
    <row r="26">
      <c r="A26" s="12"/>
      <c r="D26" s="3"/>
    </row>
    <row r="27">
      <c r="A27" s="12"/>
      <c r="D27" s="3"/>
    </row>
    <row r="28">
      <c r="A28" s="12"/>
      <c r="D28" s="3"/>
    </row>
    <row r="29">
      <c r="A29" s="12"/>
      <c r="D29" s="3"/>
    </row>
    <row r="30">
      <c r="A30" s="12"/>
      <c r="D30" s="3"/>
    </row>
    <row r="31">
      <c r="A31" s="12"/>
      <c r="D31" s="3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11" width="7.5"/>
    <col customWidth="1" min="12" max="15" width="7.38"/>
    <col customWidth="1" min="16" max="17" width="7.5"/>
  </cols>
  <sheetData>
    <row r="1">
      <c r="A1" s="3"/>
      <c r="B1" s="2">
        <v>45894.0</v>
      </c>
      <c r="C1" s="2">
        <f t="shared" ref="C1:P1" si="1">B1+7</f>
        <v>45901</v>
      </c>
      <c r="D1" s="2">
        <f t="shared" si="1"/>
        <v>45908</v>
      </c>
      <c r="E1" s="2">
        <f t="shared" si="1"/>
        <v>45915</v>
      </c>
      <c r="F1" s="2">
        <f t="shared" si="1"/>
        <v>45922</v>
      </c>
      <c r="G1" s="2">
        <f t="shared" si="1"/>
        <v>45929</v>
      </c>
      <c r="H1" s="2">
        <f t="shared" si="1"/>
        <v>45936</v>
      </c>
      <c r="I1" s="2">
        <f t="shared" si="1"/>
        <v>45943</v>
      </c>
      <c r="J1" s="2">
        <f t="shared" si="1"/>
        <v>45950</v>
      </c>
      <c r="K1" s="2">
        <f t="shared" si="1"/>
        <v>45957</v>
      </c>
      <c r="L1" s="2">
        <f t="shared" si="1"/>
        <v>45964</v>
      </c>
      <c r="M1" s="2">
        <f t="shared" si="1"/>
        <v>45971</v>
      </c>
      <c r="N1" s="2">
        <f t="shared" si="1"/>
        <v>45978</v>
      </c>
      <c r="O1" s="2">
        <f t="shared" si="1"/>
        <v>45985</v>
      </c>
      <c r="P1" s="2">
        <f t="shared" si="1"/>
        <v>45992</v>
      </c>
    </row>
    <row r="2">
      <c r="A2" s="3" t="s">
        <v>35</v>
      </c>
      <c r="D2" s="4"/>
      <c r="M2" s="14"/>
      <c r="N2" s="7" t="s">
        <v>3</v>
      </c>
      <c r="Q2" s="5"/>
    </row>
    <row r="3">
      <c r="A3" s="3" t="s">
        <v>36</v>
      </c>
      <c r="D3" s="4"/>
      <c r="E3" s="4"/>
      <c r="M3" s="8"/>
      <c r="N3" s="7" t="s">
        <v>5</v>
      </c>
      <c r="Q3" s="5"/>
    </row>
    <row r="4">
      <c r="A4" s="3" t="s">
        <v>37</v>
      </c>
      <c r="E4" s="4"/>
      <c r="M4" s="4"/>
      <c r="N4" s="7" t="s">
        <v>7</v>
      </c>
      <c r="Q4" s="5"/>
    </row>
    <row r="5">
      <c r="A5" s="3" t="s">
        <v>38</v>
      </c>
      <c r="E5" s="4"/>
      <c r="F5" s="4"/>
      <c r="M5" s="15"/>
      <c r="N5" s="7" t="s">
        <v>28</v>
      </c>
      <c r="Q5" s="5"/>
    </row>
    <row r="6">
      <c r="A6" s="3" t="s">
        <v>39</v>
      </c>
      <c r="F6" s="4"/>
      <c r="G6" s="4"/>
      <c r="Q6" s="5"/>
    </row>
    <row r="7">
      <c r="A7" s="3" t="s">
        <v>40</v>
      </c>
      <c r="G7" s="8"/>
      <c r="H7" s="8"/>
      <c r="Q7" s="5"/>
    </row>
    <row r="8">
      <c r="A8" s="3" t="s">
        <v>41</v>
      </c>
      <c r="H8" s="15"/>
      <c r="I8" s="15"/>
      <c r="Q8" s="5"/>
    </row>
    <row r="9">
      <c r="A9" s="3" t="s">
        <v>42</v>
      </c>
      <c r="H9" s="4"/>
      <c r="I9" s="4"/>
      <c r="Q9" s="5"/>
    </row>
    <row r="10">
      <c r="A10" s="3" t="s">
        <v>43</v>
      </c>
      <c r="I10" s="15"/>
      <c r="J10" s="15"/>
      <c r="K10" s="8"/>
      <c r="L10" s="14"/>
      <c r="M10" s="14"/>
      <c r="N10" s="14"/>
      <c r="Q10" s="5"/>
    </row>
    <row r="11">
      <c r="A11" s="3" t="s">
        <v>44</v>
      </c>
      <c r="J11" s="8"/>
      <c r="K11" s="8"/>
      <c r="Q11" s="5"/>
    </row>
    <row r="12">
      <c r="A12" s="3" t="s">
        <v>45</v>
      </c>
      <c r="E12" s="4"/>
      <c r="F12" s="4"/>
      <c r="G12" s="4"/>
      <c r="H12" s="4"/>
      <c r="I12" s="4"/>
      <c r="J12" s="4"/>
      <c r="K12" s="8"/>
      <c r="L12" s="14"/>
      <c r="M12" s="14"/>
      <c r="N12" s="14"/>
      <c r="Q12" s="5"/>
    </row>
    <row r="13">
      <c r="A13" s="3" t="s">
        <v>46</v>
      </c>
      <c r="L13" s="14"/>
      <c r="M13" s="14"/>
      <c r="N13" s="14"/>
      <c r="Q13" s="5"/>
    </row>
    <row r="14">
      <c r="A14" s="3" t="s">
        <v>47</v>
      </c>
      <c r="N14" s="14"/>
      <c r="Q14" s="5"/>
    </row>
    <row r="15">
      <c r="A15" s="3" t="s">
        <v>48</v>
      </c>
      <c r="N15" s="14"/>
      <c r="Q15" s="5"/>
    </row>
    <row r="16">
      <c r="A16" s="3" t="s">
        <v>49</v>
      </c>
      <c r="O16" s="14"/>
      <c r="Q16" s="5"/>
    </row>
    <row r="17">
      <c r="A17" s="3" t="s">
        <v>50</v>
      </c>
      <c r="P17" s="14"/>
      <c r="Q17" s="5"/>
    </row>
    <row r="19">
      <c r="A19" s="12"/>
    </row>
    <row r="20">
      <c r="A20" s="12"/>
    </row>
    <row r="21">
      <c r="A21" s="12"/>
    </row>
    <row r="22">
      <c r="A22" s="12"/>
    </row>
    <row r="23">
      <c r="A23" s="12"/>
    </row>
    <row r="24">
      <c r="A24" s="12"/>
    </row>
    <row r="25">
      <c r="A25" s="12"/>
    </row>
    <row r="26">
      <c r="A26" s="12"/>
    </row>
    <row r="27">
      <c r="A27" s="12"/>
    </row>
    <row r="28">
      <c r="A28" s="12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  <row r="1001">
      <c r="A1001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11" width="7.5"/>
    <col customWidth="1" min="12" max="15" width="7.38"/>
    <col customWidth="1" min="16" max="17" width="7.5"/>
  </cols>
  <sheetData>
    <row r="1">
      <c r="A1" s="3" t="s">
        <v>51</v>
      </c>
      <c r="Q1" s="5"/>
    </row>
    <row r="2">
      <c r="A2" s="12"/>
      <c r="Q2" s="5"/>
    </row>
    <row r="3">
      <c r="A3" s="16"/>
      <c r="B3" s="17">
        <v>45894.0</v>
      </c>
      <c r="C3" s="17">
        <f t="shared" ref="C3:P3" si="1">B3+7</f>
        <v>45901</v>
      </c>
      <c r="D3" s="17">
        <f t="shared" si="1"/>
        <v>45908</v>
      </c>
      <c r="E3" s="17">
        <f t="shared" si="1"/>
        <v>45915</v>
      </c>
      <c r="F3" s="17">
        <f t="shared" si="1"/>
        <v>45922</v>
      </c>
      <c r="G3" s="17">
        <f t="shared" si="1"/>
        <v>45929</v>
      </c>
      <c r="H3" s="17">
        <f t="shared" si="1"/>
        <v>45936</v>
      </c>
      <c r="I3" s="17">
        <f t="shared" si="1"/>
        <v>45943</v>
      </c>
      <c r="J3" s="17">
        <f t="shared" si="1"/>
        <v>45950</v>
      </c>
      <c r="K3" s="17">
        <f t="shared" si="1"/>
        <v>45957</v>
      </c>
      <c r="L3" s="17">
        <f t="shared" si="1"/>
        <v>45964</v>
      </c>
      <c r="M3" s="17">
        <f t="shared" si="1"/>
        <v>45971</v>
      </c>
      <c r="N3" s="17">
        <f t="shared" si="1"/>
        <v>45978</v>
      </c>
      <c r="O3" s="17">
        <f t="shared" si="1"/>
        <v>45985</v>
      </c>
      <c r="P3" s="17">
        <f t="shared" si="1"/>
        <v>45992</v>
      </c>
    </row>
    <row r="4">
      <c r="A4" s="18" t="s">
        <v>52</v>
      </c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5"/>
    </row>
    <row r="5">
      <c r="A5" s="18" t="s">
        <v>53</v>
      </c>
      <c r="B5" s="20"/>
      <c r="C5" s="20"/>
      <c r="D5" s="20"/>
      <c r="E5" s="19"/>
      <c r="F5" s="20"/>
      <c r="G5" s="20"/>
      <c r="H5" s="20"/>
      <c r="I5" s="20"/>
      <c r="J5" s="20"/>
      <c r="K5" s="20"/>
      <c r="L5" s="20"/>
      <c r="M5" s="21"/>
      <c r="N5" s="22" t="s">
        <v>3</v>
      </c>
      <c r="O5" s="20"/>
      <c r="P5" s="20"/>
      <c r="Q5" s="5"/>
    </row>
    <row r="6">
      <c r="A6" s="18" t="s">
        <v>54</v>
      </c>
      <c r="B6" s="20"/>
      <c r="C6" s="20"/>
      <c r="D6" s="20"/>
      <c r="E6" s="19"/>
      <c r="F6" s="19"/>
      <c r="G6" s="19"/>
      <c r="H6" s="20"/>
      <c r="I6" s="20"/>
      <c r="J6" s="20"/>
      <c r="K6" s="20"/>
      <c r="L6" s="20"/>
      <c r="M6" s="23"/>
      <c r="N6" s="22" t="s">
        <v>5</v>
      </c>
      <c r="O6" s="20"/>
      <c r="P6" s="20"/>
      <c r="Q6" s="5"/>
    </row>
    <row r="7">
      <c r="A7" s="18" t="s">
        <v>55</v>
      </c>
      <c r="B7" s="20"/>
      <c r="C7" s="20"/>
      <c r="D7" s="20"/>
      <c r="E7" s="20"/>
      <c r="F7" s="19"/>
      <c r="G7" s="19"/>
      <c r="H7" s="20"/>
      <c r="I7" s="20"/>
      <c r="J7" s="20"/>
      <c r="K7" s="20"/>
      <c r="L7" s="20"/>
      <c r="M7" s="19"/>
      <c r="N7" s="22" t="s">
        <v>7</v>
      </c>
      <c r="O7" s="20"/>
      <c r="P7" s="20"/>
      <c r="Q7" s="5"/>
    </row>
    <row r="8">
      <c r="A8" s="18" t="s">
        <v>56</v>
      </c>
      <c r="B8" s="20"/>
      <c r="C8" s="20"/>
      <c r="D8" s="20"/>
      <c r="E8" s="20"/>
      <c r="F8" s="20"/>
      <c r="G8" s="19"/>
      <c r="H8" s="19"/>
      <c r="I8" s="19"/>
      <c r="J8" s="20"/>
      <c r="K8" s="20"/>
      <c r="L8" s="20"/>
      <c r="M8" s="24"/>
      <c r="N8" s="22" t="s">
        <v>28</v>
      </c>
      <c r="O8" s="20"/>
      <c r="P8" s="20"/>
      <c r="Q8" s="5"/>
    </row>
    <row r="9">
      <c r="A9" s="18" t="s">
        <v>57</v>
      </c>
      <c r="B9" s="20"/>
      <c r="C9" s="20"/>
      <c r="D9" s="20"/>
      <c r="E9" s="20"/>
      <c r="F9" s="20"/>
      <c r="G9" s="20"/>
      <c r="H9" s="19"/>
      <c r="I9" s="19"/>
      <c r="J9" s="19"/>
      <c r="K9" s="20"/>
      <c r="L9" s="20"/>
      <c r="M9" s="20"/>
      <c r="N9" s="20"/>
      <c r="O9" s="20"/>
      <c r="P9" s="20"/>
      <c r="Q9" s="5"/>
    </row>
    <row r="10">
      <c r="A10" s="18" t="s">
        <v>58</v>
      </c>
      <c r="B10" s="20"/>
      <c r="C10" s="20"/>
      <c r="D10" s="20"/>
      <c r="E10" s="20"/>
      <c r="F10" s="20"/>
      <c r="G10" s="20"/>
      <c r="H10" s="20"/>
      <c r="I10" s="20"/>
      <c r="J10" s="19"/>
      <c r="K10" s="19"/>
      <c r="L10" s="20"/>
      <c r="M10" s="20"/>
      <c r="N10" s="20"/>
      <c r="O10" s="20"/>
      <c r="P10" s="20"/>
      <c r="Q10" s="5"/>
    </row>
    <row r="11">
      <c r="A11" s="18" t="s">
        <v>59</v>
      </c>
      <c r="B11" s="20"/>
      <c r="C11" s="20"/>
      <c r="D11" s="20"/>
      <c r="E11" s="20"/>
      <c r="F11" s="20"/>
      <c r="G11" s="20"/>
      <c r="H11" s="20"/>
      <c r="I11" s="20"/>
      <c r="J11" s="19"/>
      <c r="K11" s="19"/>
      <c r="L11" s="20"/>
      <c r="M11" s="20"/>
      <c r="N11" s="20"/>
      <c r="O11" s="20"/>
      <c r="P11" s="20"/>
      <c r="Q11" s="5"/>
    </row>
    <row r="12">
      <c r="A12" s="18" t="s">
        <v>60</v>
      </c>
      <c r="B12" s="20"/>
      <c r="C12" s="20"/>
      <c r="D12" s="20"/>
      <c r="E12" s="20"/>
      <c r="F12" s="20"/>
      <c r="G12" s="20"/>
      <c r="H12" s="20"/>
      <c r="I12" s="20"/>
      <c r="J12" s="19"/>
      <c r="K12" s="19"/>
      <c r="L12" s="19"/>
      <c r="M12" s="19"/>
      <c r="N12" s="20"/>
      <c r="O12" s="20"/>
      <c r="P12" s="20"/>
      <c r="Q12" s="5"/>
    </row>
    <row r="13">
      <c r="A13" s="18" t="s">
        <v>61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19"/>
      <c r="N13" s="19"/>
      <c r="O13" s="20"/>
      <c r="P13" s="20"/>
      <c r="Q13" s="5"/>
    </row>
    <row r="14">
      <c r="A14" s="18" t="s">
        <v>62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19"/>
      <c r="P14" s="20"/>
      <c r="Q14" s="5"/>
    </row>
    <row r="15">
      <c r="A15" s="1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5"/>
    </row>
    <row r="16">
      <c r="A16" s="12"/>
      <c r="Q16" s="5"/>
    </row>
    <row r="17">
      <c r="A17" s="3"/>
      <c r="Q17" s="5"/>
    </row>
    <row r="18">
      <c r="A18" s="25"/>
      <c r="B18" s="26"/>
      <c r="C18" s="26"/>
      <c r="D18" s="26"/>
    </row>
    <row r="19">
      <c r="A19" s="12"/>
      <c r="B19" s="5"/>
      <c r="C19" s="5"/>
    </row>
    <row r="20">
      <c r="A20" s="12"/>
      <c r="B20" s="5"/>
      <c r="C20" s="5"/>
    </row>
    <row r="21">
      <c r="A21" s="12"/>
      <c r="B21" s="5"/>
      <c r="C21" s="5"/>
    </row>
    <row r="22">
      <c r="A22" s="12"/>
      <c r="B22" s="5"/>
      <c r="C22" s="5"/>
    </row>
    <row r="23">
      <c r="A23" s="12"/>
      <c r="B23" s="5"/>
      <c r="C23" s="27"/>
    </row>
    <row r="24">
      <c r="A24" s="12"/>
      <c r="B24" s="27"/>
      <c r="C24" s="27"/>
    </row>
    <row r="25">
      <c r="A25" s="12"/>
      <c r="B25" s="27"/>
      <c r="C25" s="27"/>
    </row>
    <row r="26">
      <c r="A26" s="12"/>
      <c r="B26" s="27"/>
      <c r="C26" s="27"/>
    </row>
    <row r="27">
      <c r="A27" s="12"/>
      <c r="B27" s="27"/>
      <c r="C27" s="5"/>
    </row>
    <row r="28">
      <c r="A28" s="12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  <row r="1001">
      <c r="A1001" s="12"/>
    </row>
  </sheetData>
  <drawing r:id="rId1"/>
</worksheet>
</file>